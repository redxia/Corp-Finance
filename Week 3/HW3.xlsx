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mo\Desktop\ucla mfe\Winter 2020\MGMTMFE 404 Corporate Finance\Week 4\"/>
    </mc:Choice>
  </mc:AlternateContent>
  <xr:revisionPtr revIDLastSave="0" documentId="13_ncr:1_{BC0246F6-04E8-422F-B707-EF102D31B8A7}" xr6:coauthVersionLast="45" xr6:coauthVersionMax="45" xr10:uidLastSave="{00000000-0000-0000-0000-000000000000}"/>
  <bookViews>
    <workbookView xWindow="2970" yWindow="2475" windowWidth="21600" windowHeight="11145" activeTab="2" xr2:uid="{30F90F33-F894-4E7A-BD3F-19D89C660C9A}"/>
  </bookViews>
  <sheets>
    <sheet name="Q1" sheetId="1" r:id="rId1"/>
    <sheet name="Q2" sheetId="2" r:id="rId2"/>
    <sheet name="Q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3" i="3" l="1"/>
  <c r="B12" i="3"/>
  <c r="B11" i="3"/>
  <c r="B10" i="3"/>
  <c r="B9" i="3"/>
  <c r="B8" i="3"/>
  <c r="B14" i="2"/>
  <c r="B12" i="2"/>
  <c r="D11" i="2"/>
  <c r="E11" i="2"/>
  <c r="C11" i="2"/>
  <c r="D10" i="2"/>
  <c r="E10" i="2"/>
  <c r="C10" i="2"/>
  <c r="B25" i="1"/>
  <c r="B23" i="1"/>
  <c r="D22" i="1"/>
  <c r="E22" i="1"/>
  <c r="F22" i="1"/>
  <c r="G22" i="1"/>
  <c r="C22" i="1"/>
  <c r="D21" i="1"/>
  <c r="E21" i="1"/>
  <c r="F21" i="1"/>
  <c r="G21" i="1"/>
  <c r="C21" i="1"/>
  <c r="C13" i="1" l="1"/>
  <c r="C18" i="1" s="1"/>
  <c r="B18" i="1"/>
  <c r="G16" i="1"/>
  <c r="D11" i="1"/>
  <c r="E11" i="1"/>
  <c r="F11" i="1"/>
  <c r="G11" i="1"/>
  <c r="C11" i="1"/>
  <c r="D10" i="1"/>
  <c r="D13" i="1" s="1"/>
  <c r="D18" i="1" s="1"/>
  <c r="E10" i="1" l="1"/>
  <c r="F10" i="1" l="1"/>
  <c r="E13" i="1"/>
  <c r="E18" i="1" s="1"/>
  <c r="G10" i="1" l="1"/>
  <c r="G13" i="1" s="1"/>
  <c r="G18" i="1" s="1"/>
  <c r="F13" i="1"/>
  <c r="F18" i="1" s="1"/>
  <c r="B19" i="1" s="1"/>
</calcChain>
</file>

<file path=xl/sharedStrings.xml><?xml version="1.0" encoding="utf-8"?>
<sst xmlns="http://schemas.openxmlformats.org/spreadsheetml/2006/main" count="41" uniqueCount="34">
  <si>
    <t>Assmptions:</t>
  </si>
  <si>
    <t>Ra:</t>
  </si>
  <si>
    <t>Tax:</t>
  </si>
  <si>
    <t>Rd:</t>
  </si>
  <si>
    <t>Debt:</t>
  </si>
  <si>
    <t>Adjusted PV of STU Corp.</t>
  </si>
  <si>
    <t>EBIT</t>
  </si>
  <si>
    <t>Years</t>
  </si>
  <si>
    <t>Depreciation</t>
  </si>
  <si>
    <t>CAPX</t>
  </si>
  <si>
    <t>EBIT(1-T)</t>
  </si>
  <si>
    <t>D</t>
  </si>
  <si>
    <t>ΔNWC</t>
  </si>
  <si>
    <t>FCF</t>
  </si>
  <si>
    <t>V(U)</t>
  </si>
  <si>
    <t>V(TS)</t>
  </si>
  <si>
    <t>NPV</t>
  </si>
  <si>
    <t>APV Gila Corp.</t>
  </si>
  <si>
    <t>Assumptions</t>
  </si>
  <si>
    <t>V(U) :</t>
  </si>
  <si>
    <t>Rd * D * T</t>
  </si>
  <si>
    <t>Debt</t>
  </si>
  <si>
    <t>VC Valuation of Rosita Corp.</t>
  </si>
  <si>
    <t>Earnings</t>
  </si>
  <si>
    <t>Capital</t>
  </si>
  <si>
    <t>P/E</t>
  </si>
  <si>
    <t># Shares</t>
  </si>
  <si>
    <t>R</t>
  </si>
  <si>
    <t>E/P</t>
  </si>
  <si>
    <t>Stock Price = P/E * E/S</t>
  </si>
  <si>
    <t>Market Cap Est:</t>
  </si>
  <si>
    <t>PV</t>
  </si>
  <si>
    <t>Ownership %</t>
  </si>
  <si>
    <t># Shares Issue to 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</si>
</sst>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2" fillId="0" borderId="0" xfId="0" applyFont="1"/>
    <xf numFmtId="0" fontId="0" fillId="3" borderId="0" xfId="0" applyFill="1"/>
    <xf numFmtId="9" fontId="0" fillId="3" borderId="0" xfId="1" applyFont="1" applyFill="1"/>
    <xf numFmtId="9" fontId="0" fillId="0" borderId="0" xfId="1" applyFont="1"/>
    <xf numFmtId="0" fontId="0" fillId="0" borderId="0" xfId="1" applyNumberFormat="1" applyFont="1" applyFill="1"/>
    <xf numFmtId="8" fontId="0" fillId="0" borderId="0" xfId="0" applyNumberFormat="1"/>
    <xf numFmtId="0" fontId="2" fillId="0" borderId="0" xfId="0" applyNumberFormat="1" applyFont="1"/>
    <xf numFmtId="3" fontId="0" fillId="3" borderId="0" xfId="0" applyNumberFormat="1" applyFill="1"/>
    <xf numFmtId="8" fontId="3" fillId="4" borderId="0" xfId="0" applyNumberFormat="1" applyFont="1" applyFill="1"/>
    <xf numFmtId="0" fontId="0" fillId="0" borderId="0" xfId="0" applyFill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958C5-54EF-4AB1-8EBA-6967DECE9308}">
  <dimension ref="A1:G25"/>
  <sheetViews>
    <sheetView topLeftCell="A7" zoomScaleNormal="100" workbookViewId="0">
      <selection activeCell="B25" sqref="B25"/>
    </sheetView>
  </sheetViews>
  <sheetFormatPr defaultRowHeight="15" x14ac:dyDescent="0.25"/>
  <cols>
    <col min="1" max="1" width="11.85546875" customWidth="1"/>
    <col min="2" max="2" width="14.85546875" customWidth="1"/>
  </cols>
  <sheetData>
    <row r="1" spans="1:7" x14ac:dyDescent="0.25">
      <c r="A1" s="1" t="s">
        <v>5</v>
      </c>
      <c r="B1" s="1"/>
      <c r="C1" s="1"/>
    </row>
    <row r="2" spans="1:7" x14ac:dyDescent="0.25">
      <c r="A2" s="2" t="s">
        <v>0</v>
      </c>
    </row>
    <row r="4" spans="1:7" x14ac:dyDescent="0.25">
      <c r="A4" t="s">
        <v>1</v>
      </c>
      <c r="B4" s="4">
        <v>0.12</v>
      </c>
    </row>
    <row r="5" spans="1:7" x14ac:dyDescent="0.25">
      <c r="A5" t="s">
        <v>2</v>
      </c>
      <c r="B5" s="4">
        <v>0.4</v>
      </c>
    </row>
    <row r="6" spans="1:7" x14ac:dyDescent="0.25">
      <c r="A6" t="s">
        <v>3</v>
      </c>
      <c r="B6" s="4">
        <v>0.06</v>
      </c>
    </row>
    <row r="7" spans="1:7" x14ac:dyDescent="0.25">
      <c r="A7" t="s">
        <v>4</v>
      </c>
      <c r="B7" s="3">
        <v>400000</v>
      </c>
    </row>
    <row r="9" spans="1:7" x14ac:dyDescent="0.25">
      <c r="A9" t="s">
        <v>7</v>
      </c>
      <c r="B9" s="6">
        <v>0</v>
      </c>
      <c r="C9">
        <v>1</v>
      </c>
      <c r="D9">
        <v>2</v>
      </c>
      <c r="E9">
        <v>3</v>
      </c>
      <c r="F9">
        <v>4</v>
      </c>
      <c r="G9">
        <v>5</v>
      </c>
    </row>
    <row r="10" spans="1:7" x14ac:dyDescent="0.25">
      <c r="A10" t="s">
        <v>6</v>
      </c>
      <c r="C10">
        <v>200000</v>
      </c>
      <c r="D10">
        <f>C10 + 50000</f>
        <v>250000</v>
      </c>
      <c r="E10">
        <f t="shared" ref="E10:G10" si="0">D10 + 50000</f>
        <v>300000</v>
      </c>
      <c r="F10">
        <f t="shared" si="0"/>
        <v>350000</v>
      </c>
      <c r="G10">
        <f t="shared" si="0"/>
        <v>400000</v>
      </c>
    </row>
    <row r="11" spans="1:7" x14ac:dyDescent="0.25">
      <c r="A11" t="s">
        <v>8</v>
      </c>
      <c r="C11">
        <f>$B$15/5</f>
        <v>100000</v>
      </c>
      <c r="D11">
        <f t="shared" ref="D11:G11" si="1">$B$15/5</f>
        <v>100000</v>
      </c>
      <c r="E11">
        <f t="shared" si="1"/>
        <v>100000</v>
      </c>
      <c r="F11">
        <f t="shared" si="1"/>
        <v>100000</v>
      </c>
      <c r="G11">
        <f t="shared" si="1"/>
        <v>100000</v>
      </c>
    </row>
    <row r="13" spans="1:7" x14ac:dyDescent="0.25">
      <c r="A13" t="s">
        <v>10</v>
      </c>
      <c r="C13">
        <f>(C10-C11) * (1-$B$5)</f>
        <v>60000</v>
      </c>
      <c r="D13">
        <f t="shared" ref="D13:G13" si="2">(D10-D11) * (1-$B$5)</f>
        <v>90000</v>
      </c>
      <c r="E13">
        <f t="shared" si="2"/>
        <v>120000</v>
      </c>
      <c r="F13">
        <f t="shared" si="2"/>
        <v>150000</v>
      </c>
      <c r="G13">
        <f t="shared" si="2"/>
        <v>180000</v>
      </c>
    </row>
    <row r="15" spans="1:7" x14ac:dyDescent="0.25">
      <c r="A15" t="s">
        <v>9</v>
      </c>
      <c r="B15">
        <v>500000</v>
      </c>
    </row>
    <row r="16" spans="1:7" x14ac:dyDescent="0.25">
      <c r="A16" t="s">
        <v>12</v>
      </c>
      <c r="B16">
        <v>50000</v>
      </c>
      <c r="G16">
        <f>-50000</f>
        <v>-50000</v>
      </c>
    </row>
    <row r="18" spans="1:7" x14ac:dyDescent="0.25">
      <c r="A18" t="s">
        <v>13</v>
      </c>
      <c r="B18">
        <f>-SUM(B15:B16)</f>
        <v>-550000</v>
      </c>
      <c r="C18">
        <f>C13+C11-C15-C16</f>
        <v>160000</v>
      </c>
      <c r="D18">
        <f t="shared" ref="D18" si="3">D13+D11-D15-D16</f>
        <v>190000</v>
      </c>
      <c r="E18">
        <f>E13+E11-E15-E16</f>
        <v>220000</v>
      </c>
      <c r="F18">
        <f>F13+F11-F15-F16</f>
        <v>250000</v>
      </c>
      <c r="G18">
        <f>G13+G11-G15-G16</f>
        <v>330000</v>
      </c>
    </row>
    <row r="19" spans="1:7" x14ac:dyDescent="0.25">
      <c r="A19" t="s">
        <v>14</v>
      </c>
      <c r="B19" s="7">
        <f>NPV(B4,C18:G18)+B18</f>
        <v>247046.01609913271</v>
      </c>
    </row>
    <row r="21" spans="1:7" x14ac:dyDescent="0.25">
      <c r="A21" t="s">
        <v>11</v>
      </c>
      <c r="C21">
        <f>$B$7</f>
        <v>400000</v>
      </c>
      <c r="D21">
        <f t="shared" ref="D21:G21" si="4">$B$7</f>
        <v>400000</v>
      </c>
      <c r="E21">
        <f t="shared" si="4"/>
        <v>400000</v>
      </c>
      <c r="F21">
        <f t="shared" si="4"/>
        <v>400000</v>
      </c>
      <c r="G21">
        <f t="shared" si="4"/>
        <v>400000</v>
      </c>
    </row>
    <row r="22" spans="1:7" x14ac:dyDescent="0.25">
      <c r="C22">
        <f>C21*$B$6*$B$5</f>
        <v>9600</v>
      </c>
      <c r="D22">
        <f t="shared" ref="D22:G22" si="5">D21*$B$6*$B$5</f>
        <v>9600</v>
      </c>
      <c r="E22">
        <f t="shared" si="5"/>
        <v>9600</v>
      </c>
      <c r="F22">
        <f t="shared" si="5"/>
        <v>9600</v>
      </c>
      <c r="G22">
        <f t="shared" si="5"/>
        <v>9600</v>
      </c>
    </row>
    <row r="23" spans="1:7" x14ac:dyDescent="0.25">
      <c r="A23" t="s">
        <v>15</v>
      </c>
      <c r="B23" s="7">
        <f>NPV(B6,C22:G22)</f>
        <v>40438.692341430848</v>
      </c>
    </row>
    <row r="25" spans="1:7" x14ac:dyDescent="0.25">
      <c r="A25" t="s">
        <v>16</v>
      </c>
      <c r="B25" s="10">
        <f>B19+B23</f>
        <v>287484.70844056358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83A63-6063-4417-B000-DC4D6ADEE9E3}">
  <dimension ref="A1:E14"/>
  <sheetViews>
    <sheetView workbookViewId="0">
      <selection activeCell="E14" sqref="A1:E14"/>
    </sheetView>
  </sheetViews>
  <sheetFormatPr defaultRowHeight="15" x14ac:dyDescent="0.25"/>
  <cols>
    <col min="1" max="1" width="12.42578125" bestFit="1" customWidth="1"/>
    <col min="2" max="2" width="11.85546875" bestFit="1" customWidth="1"/>
  </cols>
  <sheetData>
    <row r="1" spans="1:5" x14ac:dyDescent="0.25">
      <c r="A1" s="1" t="s">
        <v>17</v>
      </c>
      <c r="B1" s="1"/>
      <c r="C1" s="1"/>
    </row>
    <row r="2" spans="1:5" x14ac:dyDescent="0.25">
      <c r="A2" s="8" t="s">
        <v>18</v>
      </c>
    </row>
    <row r="4" spans="1:5" x14ac:dyDescent="0.25">
      <c r="A4" t="s">
        <v>19</v>
      </c>
      <c r="B4" s="9">
        <v>500000</v>
      </c>
    </row>
    <row r="5" spans="1:5" x14ac:dyDescent="0.25">
      <c r="A5" t="s">
        <v>3</v>
      </c>
      <c r="B5" s="4">
        <v>0.08</v>
      </c>
    </row>
    <row r="6" spans="1:5" x14ac:dyDescent="0.25">
      <c r="A6" t="s">
        <v>2</v>
      </c>
      <c r="B6" s="4">
        <v>0.4</v>
      </c>
    </row>
    <row r="7" spans="1:5" x14ac:dyDescent="0.25">
      <c r="A7" t="s">
        <v>4</v>
      </c>
      <c r="B7" s="3">
        <v>1000000</v>
      </c>
    </row>
    <row r="9" spans="1:5" x14ac:dyDescent="0.25">
      <c r="A9" t="s">
        <v>7</v>
      </c>
      <c r="B9">
        <v>0</v>
      </c>
      <c r="C9">
        <v>1</v>
      </c>
      <c r="D9">
        <v>2</v>
      </c>
      <c r="E9">
        <v>3</v>
      </c>
    </row>
    <row r="10" spans="1:5" x14ac:dyDescent="0.25">
      <c r="A10" t="s">
        <v>21</v>
      </c>
      <c r="C10">
        <f>$B$7</f>
        <v>1000000</v>
      </c>
      <c r="D10">
        <f t="shared" ref="D10:E10" si="0">$B$7</f>
        <v>1000000</v>
      </c>
      <c r="E10">
        <f t="shared" si="0"/>
        <v>1000000</v>
      </c>
    </row>
    <row r="11" spans="1:5" x14ac:dyDescent="0.25">
      <c r="A11" t="s">
        <v>20</v>
      </c>
      <c r="C11">
        <f>C10*$B$6*$B$5</f>
        <v>32000</v>
      </c>
      <c r="D11">
        <f t="shared" ref="D11:E11" si="1">D10*$B$6*$B$5</f>
        <v>32000</v>
      </c>
      <c r="E11">
        <f t="shared" si="1"/>
        <v>32000</v>
      </c>
    </row>
    <row r="12" spans="1:5" x14ac:dyDescent="0.25">
      <c r="A12" t="s">
        <v>15</v>
      </c>
      <c r="B12" s="7">
        <f>NPV(B5,C11:E11)</f>
        <v>82467.103591932115</v>
      </c>
    </row>
    <row r="14" spans="1:5" x14ac:dyDescent="0.25">
      <c r="A14" t="s">
        <v>16</v>
      </c>
      <c r="B14" s="10">
        <f>B12+B4</f>
        <v>582467.1035919321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56A1C-E66E-4A52-8DFE-4BF6F3A87D0E}">
  <dimension ref="A1:C13"/>
  <sheetViews>
    <sheetView tabSelected="1" workbookViewId="0">
      <selection activeCell="B16" sqref="B16"/>
    </sheetView>
  </sheetViews>
  <sheetFormatPr defaultRowHeight="15" x14ac:dyDescent="0.25"/>
  <cols>
    <col min="1" max="1" width="20.42578125" bestFit="1" customWidth="1"/>
    <col min="2" max="2" width="12.42578125" customWidth="1"/>
  </cols>
  <sheetData>
    <row r="1" spans="1:3" x14ac:dyDescent="0.25">
      <c r="A1" s="1" t="s">
        <v>22</v>
      </c>
      <c r="B1" s="1"/>
      <c r="C1" s="11"/>
    </row>
    <row r="2" spans="1:3" x14ac:dyDescent="0.25">
      <c r="A2" t="s">
        <v>24</v>
      </c>
      <c r="B2">
        <v>5000000</v>
      </c>
    </row>
    <row r="3" spans="1:3" x14ac:dyDescent="0.25">
      <c r="A3" t="s">
        <v>23</v>
      </c>
      <c r="B3">
        <v>8000000</v>
      </c>
    </row>
    <row r="4" spans="1:3" x14ac:dyDescent="0.25">
      <c r="A4" t="s">
        <v>25</v>
      </c>
      <c r="B4">
        <v>15</v>
      </c>
    </row>
    <row r="5" spans="1:3" x14ac:dyDescent="0.25">
      <c r="A5" t="s">
        <v>26</v>
      </c>
      <c r="B5">
        <v>500000</v>
      </c>
    </row>
    <row r="6" spans="1:3" x14ac:dyDescent="0.25">
      <c r="A6" t="s">
        <v>27</v>
      </c>
      <c r="B6">
        <v>0.5</v>
      </c>
    </row>
    <row r="7" spans="1:3" x14ac:dyDescent="0.25">
      <c r="A7" t="s">
        <v>7</v>
      </c>
      <c r="B7">
        <v>5</v>
      </c>
    </row>
    <row r="8" spans="1:3" x14ac:dyDescent="0.25">
      <c r="A8" t="s">
        <v>28</v>
      </c>
      <c r="B8">
        <f>B3/B5</f>
        <v>16</v>
      </c>
    </row>
    <row r="9" spans="1:3" x14ac:dyDescent="0.25">
      <c r="A9" t="s">
        <v>29</v>
      </c>
      <c r="B9">
        <f>B8*B4</f>
        <v>240</v>
      </c>
    </row>
    <row r="10" spans="1:3" x14ac:dyDescent="0.25">
      <c r="A10" t="s">
        <v>30</v>
      </c>
      <c r="B10">
        <f>B9*B5</f>
        <v>120000000</v>
      </c>
    </row>
    <row r="11" spans="1:3" x14ac:dyDescent="0.25">
      <c r="A11" t="s">
        <v>31</v>
      </c>
      <c r="B11">
        <f>B10/(1+$B$6)^B7</f>
        <v>15802469.135802468</v>
      </c>
    </row>
    <row r="12" spans="1:3" x14ac:dyDescent="0.25">
      <c r="A12" t="s">
        <v>32</v>
      </c>
      <c r="B12" s="5">
        <f>B2/B11</f>
        <v>0.31640625</v>
      </c>
    </row>
    <row r="13" spans="1:3" x14ac:dyDescent="0.25">
      <c r="A13" t="s">
        <v>33</v>
      </c>
      <c r="B13">
        <f>B12*B5</f>
        <v>158203.125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</vt:lpstr>
      <vt:lpstr>Q2</vt:lpstr>
      <vt:lpstr>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 Xia</dc:creator>
  <cp:lastModifiedBy>Red Xia</cp:lastModifiedBy>
  <dcterms:created xsi:type="dcterms:W3CDTF">2020-01-29T01:41:27Z</dcterms:created>
  <dcterms:modified xsi:type="dcterms:W3CDTF">2020-01-29T03:40:11Z</dcterms:modified>
</cp:coreProperties>
</file>